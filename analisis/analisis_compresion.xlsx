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6cc3fb882f02741/Escritorio/"/>
    </mc:Choice>
  </mc:AlternateContent>
  <xr:revisionPtr revIDLastSave="10" documentId="8_{F2EE8E9D-2FC8-4307-AEBA-61629534095D}" xr6:coauthVersionLast="47" xr6:coauthVersionMax="47" xr10:uidLastSave="{3A6B5281-FE56-4B66-BD6B-29364E2FDBC0}"/>
  <bookViews>
    <workbookView xWindow="15264" yWindow="0" windowWidth="15552" windowHeight="17376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2" i="1"/>
</calcChain>
</file>

<file path=xl/sharedStrings.xml><?xml version="1.0" encoding="utf-8"?>
<sst xmlns="http://schemas.openxmlformats.org/spreadsheetml/2006/main" count="4" uniqueCount="4">
  <si>
    <t>fmax</t>
  </si>
  <si>
    <t>Carga P [KN]</t>
  </si>
  <si>
    <t>Desplazamineto [mm]</t>
  </si>
  <si>
    <t>Esfuerzo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</si>
</sst>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</a:t>
            </a:r>
            <a:r>
              <a:rPr lang="en-US" baseline="0"/>
              <a:t> Esfuerzo - Desplazamiento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resultados!$C$1</c:f>
              <c:strCache>
                <c:ptCount val="1"/>
                <c:pt idx="0">
                  <c:v>Esfuerzo [MPa]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resultados!$B$2:$B$20</c:f>
              <c:numCache>
                <c:formatCode>General</c:formatCode>
                <c:ptCount val="19"/>
                <c:pt idx="0">
                  <c:v>0</c:v>
                </c:pt>
                <c:pt idx="1">
                  <c:v>4.2000000000000003E-2</c:v>
                </c:pt>
                <c:pt idx="2">
                  <c:v>8.5000000000000006E-2</c:v>
                </c:pt>
                <c:pt idx="3">
                  <c:v>0.129</c:v>
                </c:pt>
                <c:pt idx="4">
                  <c:v>0.17399999999999999</c:v>
                </c:pt>
                <c:pt idx="5">
                  <c:v>0.22</c:v>
                </c:pt>
                <c:pt idx="6">
                  <c:v>0.26800000000000002</c:v>
                </c:pt>
                <c:pt idx="7">
                  <c:v>0.316</c:v>
                </c:pt>
                <c:pt idx="8">
                  <c:v>0.36599999999999999</c:v>
                </c:pt>
                <c:pt idx="9">
                  <c:v>0.41699999999999998</c:v>
                </c:pt>
                <c:pt idx="10">
                  <c:v>0.46899999999999997</c:v>
                </c:pt>
                <c:pt idx="11">
                  <c:v>0.52200000000000002</c:v>
                </c:pt>
                <c:pt idx="12">
                  <c:v>0.57599999999999996</c:v>
                </c:pt>
                <c:pt idx="13">
                  <c:v>0.63100000000000001</c:v>
                </c:pt>
                <c:pt idx="14">
                  <c:v>0.68799999999999994</c:v>
                </c:pt>
                <c:pt idx="15">
                  <c:v>0.745</c:v>
                </c:pt>
                <c:pt idx="16">
                  <c:v>0.80400000000000005</c:v>
                </c:pt>
                <c:pt idx="17">
                  <c:v>0.86399999999999999</c:v>
                </c:pt>
                <c:pt idx="18">
                  <c:v>0.92500000000000004</c:v>
                </c:pt>
              </c:numCache>
            </c:numRef>
          </c:xVal>
          <c:yVal>
            <c:numRef>
              <c:f>resultados!$C$2:$C$20</c:f>
              <c:numCache>
                <c:formatCode>General</c:formatCode>
                <c:ptCount val="19"/>
                <c:pt idx="0">
                  <c:v>0</c:v>
                </c:pt>
                <c:pt idx="1">
                  <c:v>1.4147104993022648</c:v>
                </c:pt>
                <c:pt idx="2">
                  <c:v>2.8294209986045296</c:v>
                </c:pt>
                <c:pt idx="3">
                  <c:v>4.2441314979067943</c:v>
                </c:pt>
                <c:pt idx="4">
                  <c:v>5.6588419972090591</c:v>
                </c:pt>
                <c:pt idx="5">
                  <c:v>7.0735524965113239</c:v>
                </c:pt>
                <c:pt idx="6">
                  <c:v>8.4882629958135887</c:v>
                </c:pt>
                <c:pt idx="7">
                  <c:v>9.9029734951158535</c:v>
                </c:pt>
                <c:pt idx="8">
                  <c:v>11.317683994418118</c:v>
                </c:pt>
                <c:pt idx="9">
                  <c:v>12.732394493720383</c:v>
                </c:pt>
                <c:pt idx="10">
                  <c:v>14.147104993022648</c:v>
                </c:pt>
                <c:pt idx="11">
                  <c:v>15.561815492324913</c:v>
                </c:pt>
                <c:pt idx="12">
                  <c:v>16.976525991627177</c:v>
                </c:pt>
                <c:pt idx="13">
                  <c:v>18.391236490929444</c:v>
                </c:pt>
                <c:pt idx="14">
                  <c:v>19.805946990231707</c:v>
                </c:pt>
                <c:pt idx="15">
                  <c:v>21.220657489533973</c:v>
                </c:pt>
                <c:pt idx="16">
                  <c:v>22.635367988836236</c:v>
                </c:pt>
                <c:pt idx="17">
                  <c:v>24.050078488138503</c:v>
                </c:pt>
                <c:pt idx="18">
                  <c:v>25.464788987440766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7-4396-8848-08AC1B039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130144"/>
        <c:axId val="711003888"/>
      </c:scatterChart>
      <c:valAx>
        <c:axId val="138713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Desplazamiento</a:t>
                </a:r>
                <a:r>
                  <a:rPr lang="es-CL" baseline="0"/>
                  <a:t>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1003888"/>
        <c:crosses val="autoZero"/>
        <c:crossBetween val="midCat"/>
      </c:valAx>
      <c:valAx>
        <c:axId val="71100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Esfuerzo</a:t>
                </a:r>
                <a:r>
                  <a:rPr lang="es-CL" baseline="0"/>
                  <a:t> [MPa]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713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3</xdr:row>
      <xdr:rowOff>57150</xdr:rowOff>
    </xdr:from>
    <xdr:to>
      <xdr:col>10</xdr:col>
      <xdr:colOff>518160</xdr:colOff>
      <xdr:row>18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DDFF87-018B-96C3-B1CD-9704B2911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H26" sqref="H26"/>
    </sheetView>
  </sheetViews>
  <sheetFormatPr baseColWidth="10" defaultColWidth="8.88671875" defaultRowHeight="14.4" x14ac:dyDescent="0.3"/>
  <cols>
    <col min="1" max="1" width="11" customWidth="1"/>
    <col min="2" max="2" width="19.21875" customWidth="1"/>
    <col min="3" max="3" width="13.21875" customWidth="1"/>
  </cols>
  <sheetData>
    <row r="1" spans="1:6" x14ac:dyDescent="0.3">
      <c r="A1" s="1" t="s">
        <v>1</v>
      </c>
      <c r="B1" s="1" t="s">
        <v>2</v>
      </c>
      <c r="C1" s="1" t="s">
        <v>3</v>
      </c>
    </row>
    <row r="2" spans="1:6" x14ac:dyDescent="0.3">
      <c r="A2" s="1">
        <v>0</v>
      </c>
      <c r="B2" s="1">
        <v>0</v>
      </c>
      <c r="C2" s="1">
        <f t="shared" ref="C2:C20" si="0">A2*1000/17671.46</f>
        <v>0</v>
      </c>
      <c r="E2" t="s">
        <v>0</v>
      </c>
      <c r="F2">
        <f>MAX(C:C)</f>
        <v>25.464788987440766</v>
      </c>
    </row>
    <row r="3" spans="1:6" x14ac:dyDescent="0.3">
      <c r="A3" s="1">
        <v>25</v>
      </c>
      <c r="B3" s="1">
        <v>4.2000000000000003E-2</v>
      </c>
      <c r="C3" s="1">
        <f>A3*1000/17671.46</f>
        <v>1.4147104993022648</v>
      </c>
    </row>
    <row r="4" spans="1:6" x14ac:dyDescent="0.3">
      <c r="A4" s="1">
        <v>50</v>
      </c>
      <c r="B4" s="1">
        <v>8.5000000000000006E-2</v>
      </c>
      <c r="C4" s="1">
        <f t="shared" si="0"/>
        <v>2.8294209986045296</v>
      </c>
    </row>
    <row r="5" spans="1:6" x14ac:dyDescent="0.3">
      <c r="A5" s="1">
        <v>75</v>
      </c>
      <c r="B5" s="1">
        <v>0.129</v>
      </c>
      <c r="C5" s="1">
        <f t="shared" si="0"/>
        <v>4.2441314979067943</v>
      </c>
    </row>
    <row r="6" spans="1:6" x14ac:dyDescent="0.3">
      <c r="A6" s="1">
        <v>100</v>
      </c>
      <c r="B6" s="1">
        <v>0.17399999999999999</v>
      </c>
      <c r="C6" s="1">
        <f t="shared" si="0"/>
        <v>5.6588419972090591</v>
      </c>
    </row>
    <row r="7" spans="1:6" x14ac:dyDescent="0.3">
      <c r="A7" s="1">
        <v>125</v>
      </c>
      <c r="B7" s="1">
        <v>0.22</v>
      </c>
      <c r="C7" s="1">
        <f t="shared" si="0"/>
        <v>7.0735524965113239</v>
      </c>
    </row>
    <row r="8" spans="1:6" x14ac:dyDescent="0.3">
      <c r="A8" s="1">
        <v>150</v>
      </c>
      <c r="B8" s="1">
        <v>0.26800000000000002</v>
      </c>
      <c r="C8" s="1">
        <f t="shared" si="0"/>
        <v>8.4882629958135887</v>
      </c>
    </row>
    <row r="9" spans="1:6" x14ac:dyDescent="0.3">
      <c r="A9" s="1">
        <v>175</v>
      </c>
      <c r="B9" s="1">
        <v>0.316</v>
      </c>
      <c r="C9" s="1">
        <f t="shared" si="0"/>
        <v>9.9029734951158535</v>
      </c>
    </row>
    <row r="10" spans="1:6" x14ac:dyDescent="0.3">
      <c r="A10" s="1">
        <v>200</v>
      </c>
      <c r="B10" s="1">
        <v>0.36599999999999999</v>
      </c>
      <c r="C10" s="1">
        <f t="shared" si="0"/>
        <v>11.317683994418118</v>
      </c>
    </row>
    <row r="11" spans="1:6" x14ac:dyDescent="0.3">
      <c r="A11" s="1">
        <v>225</v>
      </c>
      <c r="B11" s="1">
        <v>0.41699999999999998</v>
      </c>
      <c r="C11" s="1">
        <f t="shared" si="0"/>
        <v>12.732394493720383</v>
      </c>
    </row>
    <row r="12" spans="1:6" x14ac:dyDescent="0.3">
      <c r="A12" s="1">
        <v>250</v>
      </c>
      <c r="B12" s="1">
        <v>0.46899999999999997</v>
      </c>
      <c r="C12" s="1">
        <f t="shared" si="0"/>
        <v>14.147104993022648</v>
      </c>
    </row>
    <row r="13" spans="1:6" x14ac:dyDescent="0.3">
      <c r="A13" s="1">
        <v>275</v>
      </c>
      <c r="B13" s="1">
        <v>0.52200000000000002</v>
      </c>
      <c r="C13" s="1">
        <f t="shared" si="0"/>
        <v>15.561815492324913</v>
      </c>
    </row>
    <row r="14" spans="1:6" x14ac:dyDescent="0.3">
      <c r="A14" s="1">
        <v>300</v>
      </c>
      <c r="B14" s="1">
        <v>0.57599999999999996</v>
      </c>
      <c r="C14" s="1">
        <f t="shared" si="0"/>
        <v>16.976525991627177</v>
      </c>
    </row>
    <row r="15" spans="1:6" x14ac:dyDescent="0.3">
      <c r="A15" s="1">
        <v>325</v>
      </c>
      <c r="B15" s="1">
        <v>0.63100000000000001</v>
      </c>
      <c r="C15" s="1">
        <f t="shared" si="0"/>
        <v>18.391236490929444</v>
      </c>
    </row>
    <row r="16" spans="1:6" x14ac:dyDescent="0.3">
      <c r="A16" s="1">
        <v>350</v>
      </c>
      <c r="B16" s="1">
        <v>0.68799999999999994</v>
      </c>
      <c r="C16" s="1">
        <f t="shared" si="0"/>
        <v>19.805946990231707</v>
      </c>
    </row>
    <row r="17" spans="1:3" x14ac:dyDescent="0.3">
      <c r="A17" s="1">
        <v>375</v>
      </c>
      <c r="B17" s="1">
        <v>0.745</v>
      </c>
      <c r="C17" s="1">
        <f t="shared" si="0"/>
        <v>21.220657489533973</v>
      </c>
    </row>
    <row r="18" spans="1:3" x14ac:dyDescent="0.3">
      <c r="A18" s="1">
        <v>400</v>
      </c>
      <c r="B18" s="1">
        <v>0.80400000000000005</v>
      </c>
      <c r="C18" s="1">
        <f t="shared" si="0"/>
        <v>22.635367988836236</v>
      </c>
    </row>
    <row r="19" spans="1:3" x14ac:dyDescent="0.3">
      <c r="A19" s="1">
        <v>425</v>
      </c>
      <c r="B19" s="1">
        <v>0.86399999999999999</v>
      </c>
      <c r="C19" s="1">
        <f t="shared" si="0"/>
        <v>24.050078488138503</v>
      </c>
    </row>
    <row r="20" spans="1:3" x14ac:dyDescent="0.3">
      <c r="A20" s="1">
        <v>450</v>
      </c>
      <c r="B20" s="1">
        <v>0.92500000000000004</v>
      </c>
      <c r="C20" s="1">
        <f t="shared" si="0"/>
        <v>25.464788987440766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Broncano</cp:lastModifiedBy>
  <dcterms:created xsi:type="dcterms:W3CDTF">2026-09-19T14:11:16Z</dcterms:created>
  <dcterms:modified xsi:type="dcterms:W3CDTF">2026-09-24T05:12:11Z</dcterms:modified>
</cp:coreProperties>
</file>